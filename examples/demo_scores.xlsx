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8" customWidth="1" min="4" max="4"/>
    <col width="16" customWidth="1" min="5" max="5"/>
    <col width="20" customWidth="1" min="6" max="6"/>
    <col width="7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年级</t>
        </is>
      </c>
      <c r="E1" s="1" t="inlineStr">
        <is>
          <t>专业班级</t>
        </is>
      </c>
      <c r="F1" s="1" t="inlineStr">
        <is>
          <t>课程名称</t>
        </is>
      </c>
      <c r="G1" s="1" t="inlineStr">
        <is>
          <t>学分</t>
        </is>
      </c>
      <c r="H1" s="1" t="inlineStr">
        <is>
          <t>出勤成绩</t>
        </is>
      </c>
      <c r="I1" s="1" t="inlineStr">
        <is>
          <t>作业成绩</t>
        </is>
      </c>
      <c r="J1" s="1" t="inlineStr">
        <is>
          <t>平时分</t>
        </is>
      </c>
      <c r="K1" s="1" t="inlineStr">
        <is>
          <t>总评</t>
        </is>
      </c>
      <c r="L1" s="1" t="inlineStr">
        <is>
          <t>目标总评</t>
        </is>
      </c>
    </row>
    <row r="2">
      <c r="A2" s="2" t="n">
        <v>1</v>
      </c>
      <c r="B2" s="2" t="inlineStr">
        <is>
          <t>2023010001</t>
        </is>
      </c>
      <c r="C2" s="2" t="inlineStr">
        <is>
          <t>赵伟</t>
        </is>
      </c>
      <c r="D2" s="2" t="inlineStr">
        <is>
          <t>2023级</t>
        </is>
      </c>
      <c r="E2" s="2" t="inlineStr">
        <is>
          <t>统计学1班</t>
        </is>
      </c>
      <c r="F2" s="2" t="inlineStr">
        <is>
          <t>应用统计学</t>
        </is>
      </c>
      <c r="G2" s="2" t="n">
        <v>3</v>
      </c>
      <c r="H2" s="2" t="n">
        <v>100</v>
      </c>
      <c r="I2" s="2" t="n">
        <v>70</v>
      </c>
      <c r="J2" s="2" t="n"/>
      <c r="K2" s="2">
        <f>ROUND(J2*0.8+H2*0.2,0)</f>
        <v/>
      </c>
      <c r="L2" s="2" t="n">
        <v>70</v>
      </c>
    </row>
    <row r="3">
      <c r="A3" s="2" t="n">
        <v>2</v>
      </c>
      <c r="B3" s="2" t="inlineStr">
        <is>
          <t>2023010002</t>
        </is>
      </c>
      <c r="C3" s="2" t="inlineStr">
        <is>
          <t>钱芳</t>
        </is>
      </c>
      <c r="D3" s="2" t="inlineStr">
        <is>
          <t>2023级</t>
        </is>
      </c>
      <c r="E3" s="2" t="inlineStr">
        <is>
          <t>统计学2班</t>
        </is>
      </c>
      <c r="F3" s="2" t="inlineStr">
        <is>
          <t>应用统计学</t>
        </is>
      </c>
      <c r="G3" s="2" t="n">
        <v>3</v>
      </c>
      <c r="H3" s="2" t="n">
        <v>100</v>
      </c>
      <c r="I3" s="2" t="n">
        <v>73</v>
      </c>
      <c r="J3" s="2" t="n"/>
      <c r="K3" s="2">
        <f>ROUND(J3*0.8+H3*0.2,0)</f>
        <v/>
      </c>
      <c r="L3" s="2" t="n">
        <v>77</v>
      </c>
    </row>
    <row r="4">
      <c r="A4" s="2" t="n">
        <v>3</v>
      </c>
      <c r="B4" s="2" t="inlineStr">
        <is>
          <t>2023010003</t>
        </is>
      </c>
      <c r="C4" s="2" t="inlineStr">
        <is>
          <t>孙娜</t>
        </is>
      </c>
      <c r="D4" s="2" t="inlineStr">
        <is>
          <t>2023级</t>
        </is>
      </c>
      <c r="E4" s="2" t="inlineStr">
        <is>
          <t>统计学1班</t>
        </is>
      </c>
      <c r="F4" s="2" t="inlineStr">
        <is>
          <t>应用统计学</t>
        </is>
      </c>
      <c r="G4" s="2" t="n">
        <v>3</v>
      </c>
      <c r="H4" s="2" t="n">
        <v>95</v>
      </c>
      <c r="I4" s="2" t="n">
        <v>76</v>
      </c>
      <c r="J4" s="2" t="n"/>
      <c r="K4" s="2">
        <f>ROUND(J4*0.8+H4*0.2,0)</f>
        <v/>
      </c>
      <c r="L4" s="2" t="n">
        <v>84</v>
      </c>
    </row>
    <row r="5">
      <c r="A5" s="2" t="n">
        <v>4</v>
      </c>
      <c r="B5" s="2" t="inlineStr">
        <is>
          <t>2023010004</t>
        </is>
      </c>
      <c r="C5" s="2" t="inlineStr">
        <is>
          <t>李敏</t>
        </is>
      </c>
      <c r="D5" s="2" t="inlineStr">
        <is>
          <t>2023级</t>
        </is>
      </c>
      <c r="E5" s="2" t="inlineStr">
        <is>
          <t>统计学2班</t>
        </is>
      </c>
      <c r="F5" s="2" t="inlineStr">
        <is>
          <t>应用统计学</t>
        </is>
      </c>
      <c r="G5" s="2" t="n">
        <v>3</v>
      </c>
      <c r="H5" s="2" t="n">
        <v>90</v>
      </c>
      <c r="I5" s="2" t="n">
        <v>79</v>
      </c>
      <c r="J5" s="2" t="n"/>
      <c r="K5" s="2">
        <f>ROUND(J5*0.8+H5*0.2,0)</f>
        <v/>
      </c>
      <c r="L5" s="2" t="n">
        <v>91</v>
      </c>
    </row>
    <row r="6">
      <c r="A6" s="2" t="n">
        <v>5</v>
      </c>
      <c r="B6" s="2" t="inlineStr">
        <is>
          <t>2023010005</t>
        </is>
      </c>
      <c r="C6" s="2" t="inlineStr">
        <is>
          <t>周静</t>
        </is>
      </c>
      <c r="D6" s="2" t="inlineStr">
        <is>
          <t>2023级</t>
        </is>
      </c>
      <c r="E6" s="2" t="inlineStr">
        <is>
          <t>统计学1班</t>
        </is>
      </c>
      <c r="F6" s="2" t="inlineStr">
        <is>
          <t>应用统计学</t>
        </is>
      </c>
      <c r="G6" s="2" t="n">
        <v>3</v>
      </c>
      <c r="H6" s="2" t="n">
        <v>100</v>
      </c>
      <c r="I6" s="2" t="n">
        <v>82</v>
      </c>
      <c r="J6" s="2" t="n"/>
      <c r="K6" s="2">
        <f>ROUND(J6*0.8+H6*0.2,0)</f>
        <v/>
      </c>
      <c r="L6" s="2" t="n">
        <v>71</v>
      </c>
    </row>
    <row r="7">
      <c r="A7" s="2" t="n">
        <v>6</v>
      </c>
      <c r="B7" s="2" t="inlineStr">
        <is>
          <t>2023010006</t>
        </is>
      </c>
      <c r="C7" s="2" t="inlineStr">
        <is>
          <t>吴强</t>
        </is>
      </c>
      <c r="D7" s="2" t="inlineStr">
        <is>
          <t>2023级</t>
        </is>
      </c>
      <c r="E7" s="2" t="inlineStr">
        <is>
          <t>统计学2班</t>
        </is>
      </c>
      <c r="F7" s="2" t="inlineStr">
        <is>
          <t>应用统计学</t>
        </is>
      </c>
      <c r="G7" s="2" t="n">
        <v>3</v>
      </c>
      <c r="H7" s="2" t="n">
        <v>85</v>
      </c>
      <c r="I7" s="2" t="n">
        <v>85</v>
      </c>
      <c r="J7" s="2" t="n"/>
      <c r="K7" s="2">
        <f>ROUND(J7*0.8+H7*0.2,0)</f>
        <v/>
      </c>
      <c r="L7" s="2" t="n">
        <v>78</v>
      </c>
    </row>
    <row r="8">
      <c r="A8" s="2" t="n">
        <v>7</v>
      </c>
      <c r="B8" s="2" t="inlineStr">
        <is>
          <t>2023010007</t>
        </is>
      </c>
      <c r="C8" s="2" t="inlineStr">
        <is>
          <t>郑磊</t>
        </is>
      </c>
      <c r="D8" s="2" t="inlineStr">
        <is>
          <t>2023级</t>
        </is>
      </c>
      <c r="E8" s="2" t="inlineStr">
        <is>
          <t>统计学1班</t>
        </is>
      </c>
      <c r="F8" s="2" t="inlineStr">
        <is>
          <t>应用统计学</t>
        </is>
      </c>
      <c r="G8" s="2" t="n">
        <v>3</v>
      </c>
      <c r="H8" s="2" t="n">
        <v>95</v>
      </c>
      <c r="I8" s="2" t="n">
        <v>88</v>
      </c>
      <c r="J8" s="2" t="n"/>
      <c r="K8" s="2">
        <f>ROUND(J8*0.8+H8*0.2,0)</f>
        <v/>
      </c>
      <c r="L8" s="2" t="n">
        <v>85</v>
      </c>
    </row>
    <row r="9">
      <c r="A9" s="2" t="n">
        <v>8</v>
      </c>
      <c r="B9" s="2" t="inlineStr">
        <is>
          <t>2023010008</t>
        </is>
      </c>
      <c r="C9" s="2" t="inlineStr">
        <is>
          <t>王洋</t>
        </is>
      </c>
      <c r="D9" s="2" t="inlineStr">
        <is>
          <t>2023级</t>
        </is>
      </c>
      <c r="E9" s="2" t="inlineStr">
        <is>
          <t>统计学2班</t>
        </is>
      </c>
      <c r="F9" s="2" t="inlineStr">
        <is>
          <t>应用统计学</t>
        </is>
      </c>
      <c r="G9" s="2" t="n">
        <v>3</v>
      </c>
      <c r="H9" s="2" t="n">
        <v>100</v>
      </c>
      <c r="I9" s="2" t="n">
        <v>91</v>
      </c>
      <c r="J9" s="2" t="n"/>
      <c r="K9" s="2">
        <f>ROUND(J9*0.8+H9*0.2,0)</f>
        <v/>
      </c>
      <c r="L9" s="2" t="n">
        <v>92</v>
      </c>
    </row>
    <row r="10">
      <c r="A10" s="2" t="n">
        <v>9</v>
      </c>
      <c r="B10" s="2" t="inlineStr">
        <is>
          <t>2023010009</t>
        </is>
      </c>
      <c r="C10" s="2" t="inlineStr">
        <is>
          <t>冯艳</t>
        </is>
      </c>
      <c r="D10" s="2" t="inlineStr">
        <is>
          <t>2023级</t>
        </is>
      </c>
      <c r="E10" s="2" t="inlineStr">
        <is>
          <t>统计学1班</t>
        </is>
      </c>
      <c r="F10" s="2" t="inlineStr">
        <is>
          <t>应用统计学</t>
        </is>
      </c>
      <c r="G10" s="2" t="n">
        <v>3</v>
      </c>
      <c r="H10" s="2" t="n">
        <v>100</v>
      </c>
      <c r="I10" s="2" t="n">
        <v>94</v>
      </c>
      <c r="J10" s="2" t="n"/>
      <c r="K10" s="2">
        <f>ROUND(J10*0.8+H10*0.2,0)</f>
        <v/>
      </c>
      <c r="L10" s="2" t="n">
        <v>72</v>
      </c>
    </row>
    <row r="11">
      <c r="A11" s="2" t="n">
        <v>10</v>
      </c>
      <c r="B11" s="2" t="inlineStr">
        <is>
          <t>2023010010</t>
        </is>
      </c>
      <c r="C11" s="2" t="inlineStr">
        <is>
          <t>陈勇</t>
        </is>
      </c>
      <c r="D11" s="2" t="inlineStr">
        <is>
          <t>2023级</t>
        </is>
      </c>
      <c r="E11" s="2" t="inlineStr">
        <is>
          <t>统计学2班</t>
        </is>
      </c>
      <c r="F11" s="2" t="inlineStr">
        <is>
          <t>应用统计学</t>
        </is>
      </c>
      <c r="G11" s="2" t="n">
        <v>3</v>
      </c>
      <c r="H11" s="2" t="n">
        <v>100</v>
      </c>
      <c r="I11" s="2" t="n">
        <v>72</v>
      </c>
      <c r="J11" s="2" t="n"/>
      <c r="K11" s="2">
        <f>ROUND(J11*0.8+H11*0.2,0)</f>
        <v/>
      </c>
      <c r="L11" s="2" t="n">
        <v>79</v>
      </c>
    </row>
    <row r="12">
      <c r="A12" s="2" t="n">
        <v>11</v>
      </c>
      <c r="B12" s="2" t="inlineStr">
        <is>
          <t>2023010011</t>
        </is>
      </c>
      <c r="C12" s="2" t="inlineStr">
        <is>
          <t>褚军</t>
        </is>
      </c>
      <c r="D12" s="2" t="inlineStr">
        <is>
          <t>2023级</t>
        </is>
      </c>
      <c r="E12" s="2" t="inlineStr">
        <is>
          <t>统计学1班</t>
        </is>
      </c>
      <c r="F12" s="2" t="inlineStr">
        <is>
          <t>应用统计学</t>
        </is>
      </c>
      <c r="G12" s="2" t="n">
        <v>3</v>
      </c>
      <c r="H12" s="2" t="n">
        <v>95</v>
      </c>
      <c r="I12" s="2" t="n">
        <v>75</v>
      </c>
      <c r="J12" s="2" t="n"/>
      <c r="K12" s="2">
        <f>ROUND(J12*0.8+H12*0.2,0)</f>
        <v/>
      </c>
      <c r="L12" s="2" t="n">
        <v>86</v>
      </c>
    </row>
    <row r="13">
      <c r="A13" s="2" t="n">
        <v>12</v>
      </c>
      <c r="B13" s="2" t="inlineStr">
        <is>
          <t>2023010012</t>
        </is>
      </c>
      <c r="C13" s="2" t="inlineStr">
        <is>
          <t>卫杰</t>
        </is>
      </c>
      <c r="D13" s="2" t="inlineStr">
        <is>
          <t>2023级</t>
        </is>
      </c>
      <c r="E13" s="2" t="inlineStr">
        <is>
          <t>统计学2班</t>
        </is>
      </c>
      <c r="F13" s="2" t="inlineStr">
        <is>
          <t>应用统计学</t>
        </is>
      </c>
      <c r="G13" s="2" t="n">
        <v>3</v>
      </c>
      <c r="H13" s="2" t="n">
        <v>90</v>
      </c>
      <c r="I13" s="2" t="n">
        <v>78</v>
      </c>
      <c r="J13" s="2" t="n"/>
      <c r="K13" s="2">
        <f>ROUND(J13*0.8+H13*0.2,0)</f>
        <v/>
      </c>
      <c r="L13" s="2" t="n">
        <v>93</v>
      </c>
    </row>
    <row r="14">
      <c r="A14" s="2" t="n">
        <v>13</v>
      </c>
      <c r="B14" s="2" t="inlineStr">
        <is>
          <t>2023010013</t>
        </is>
      </c>
      <c r="C14" s="2" t="inlineStr">
        <is>
          <t>蒋娟</t>
        </is>
      </c>
      <c r="D14" s="2" t="inlineStr">
        <is>
          <t>2023级</t>
        </is>
      </c>
      <c r="E14" s="2" t="inlineStr">
        <is>
          <t>统计学1班</t>
        </is>
      </c>
      <c r="F14" s="2" t="inlineStr">
        <is>
          <t>应用统计学</t>
        </is>
      </c>
      <c r="G14" s="2" t="n">
        <v>3</v>
      </c>
      <c r="H14" s="2" t="n">
        <v>100</v>
      </c>
      <c r="I14" s="2" t="n">
        <v>81</v>
      </c>
      <c r="J14" s="2" t="n"/>
      <c r="K14" s="2">
        <f>ROUND(J14*0.8+H14*0.2,0)</f>
        <v/>
      </c>
      <c r="L14" s="2" t="n">
        <v>73</v>
      </c>
    </row>
    <row r="15">
      <c r="A15" s="2" t="n">
        <v>14</v>
      </c>
      <c r="B15" s="2" t="inlineStr">
        <is>
          <t>2023010014</t>
        </is>
      </c>
      <c r="C15" s="2" t="inlineStr">
        <is>
          <t>沈涛</t>
        </is>
      </c>
      <c r="D15" s="2" t="inlineStr">
        <is>
          <t>2023级</t>
        </is>
      </c>
      <c r="E15" s="2" t="inlineStr">
        <is>
          <t>统计学2班</t>
        </is>
      </c>
      <c r="F15" s="2" t="inlineStr">
        <is>
          <t>应用统计学</t>
        </is>
      </c>
      <c r="G15" s="2" t="n">
        <v>3</v>
      </c>
      <c r="H15" s="2" t="n">
        <v>85</v>
      </c>
      <c r="I15" s="2" t="n">
        <v>84</v>
      </c>
      <c r="J15" s="2" t="n"/>
      <c r="K15" s="2">
        <f>ROUND(J15*0.8+H15*0.2,0)</f>
        <v/>
      </c>
      <c r="L15" s="2" t="n">
        <v>80</v>
      </c>
    </row>
    <row r="16">
      <c r="A16" s="2" t="n">
        <v>15</v>
      </c>
      <c r="B16" s="2" t="inlineStr">
        <is>
          <t>2023010015</t>
        </is>
      </c>
      <c r="C16" s="2" t="inlineStr">
        <is>
          <t>韩明</t>
        </is>
      </c>
      <c r="D16" s="2" t="inlineStr">
        <is>
          <t>2023级</t>
        </is>
      </c>
      <c r="E16" s="2" t="inlineStr">
        <is>
          <t>统计学1班</t>
        </is>
      </c>
      <c r="F16" s="2" t="inlineStr">
        <is>
          <t>应用统计学</t>
        </is>
      </c>
      <c r="G16" s="2" t="n">
        <v>3</v>
      </c>
      <c r="H16" s="2" t="n">
        <v>95</v>
      </c>
      <c r="I16" s="2" t="n">
        <v>87</v>
      </c>
      <c r="J16" s="2" t="n"/>
      <c r="K16" s="2">
        <f>ROUND(J16*0.8+H16*0.2,0)</f>
        <v/>
      </c>
      <c r="L16" s="2" t="n">
        <v>87</v>
      </c>
    </row>
    <row r="17">
      <c r="A17" s="2" t="n">
        <v>16</v>
      </c>
      <c r="B17" s="2" t="inlineStr">
        <is>
          <t>2023010016</t>
        </is>
      </c>
      <c r="C17" s="2" t="inlineStr">
        <is>
          <t>杨超</t>
        </is>
      </c>
      <c r="D17" s="2" t="inlineStr">
        <is>
          <t>2023级</t>
        </is>
      </c>
      <c r="E17" s="2" t="inlineStr">
        <is>
          <t>统计学2班</t>
        </is>
      </c>
      <c r="F17" s="2" t="inlineStr">
        <is>
          <t>应用统计学</t>
        </is>
      </c>
      <c r="G17" s="2" t="n">
        <v>3</v>
      </c>
      <c r="H17" s="2" t="n">
        <v>100</v>
      </c>
      <c r="I17" s="2" t="n">
        <v>90</v>
      </c>
      <c r="J17" s="2" t="n"/>
      <c r="K17" s="2">
        <f>ROUND(J17*0.8+H17*0.2,0)</f>
        <v/>
      </c>
      <c r="L17" s="2" t="n">
        <v>94</v>
      </c>
    </row>
    <row r="18">
      <c r="A18" s="2" t="n">
        <v>17</v>
      </c>
      <c r="B18" s="2" t="inlineStr">
        <is>
          <t>2023010017</t>
        </is>
      </c>
      <c r="C18" s="2" t="inlineStr">
        <is>
          <t>朱秀英</t>
        </is>
      </c>
      <c r="D18" s="2" t="inlineStr">
        <is>
          <t>2023级</t>
        </is>
      </c>
      <c r="E18" s="2" t="inlineStr">
        <is>
          <t>统计学1班</t>
        </is>
      </c>
      <c r="F18" s="2" t="inlineStr">
        <is>
          <t>应用统计学</t>
        </is>
      </c>
      <c r="G18" s="2" t="n">
        <v>3</v>
      </c>
      <c r="H18" s="2" t="n">
        <v>100</v>
      </c>
      <c r="I18" s="2" t="n">
        <v>93</v>
      </c>
      <c r="J18" s="2" t="n"/>
      <c r="K18" s="2">
        <f>ROUND(J18*0.8+H18*0.2,0)</f>
        <v/>
      </c>
      <c r="L18" s="2" t="n">
        <v>74</v>
      </c>
    </row>
    <row r="19">
      <c r="A19" s="2" t="n">
        <v>18</v>
      </c>
      <c r="B19" s="2" t="inlineStr">
        <is>
          <t>2023010018</t>
        </is>
      </c>
      <c r="C19" s="2" t="inlineStr">
        <is>
          <t>秦霞</t>
        </is>
      </c>
      <c r="D19" s="2" t="inlineStr">
        <is>
          <t>2023级</t>
        </is>
      </c>
      <c r="E19" s="2" t="inlineStr">
        <is>
          <t>统计学2班</t>
        </is>
      </c>
      <c r="F19" s="2" t="inlineStr">
        <is>
          <t>应用统计学</t>
        </is>
      </c>
      <c r="G19" s="2" t="n">
        <v>3</v>
      </c>
      <c r="H19" s="2" t="n">
        <v>100</v>
      </c>
      <c r="I19" s="2" t="n">
        <v>71</v>
      </c>
      <c r="J19" s="2" t="n"/>
      <c r="K19" s="2">
        <f>ROUND(J19*0.8+H19*0.2,0)</f>
        <v/>
      </c>
      <c r="L19" s="2" t="n">
        <v>81</v>
      </c>
    </row>
    <row r="20">
      <c r="A20" s="2" t="n">
        <v>19</v>
      </c>
      <c r="B20" s="2" t="inlineStr">
        <is>
          <t>2023010019</t>
        </is>
      </c>
      <c r="C20" s="2" t="inlineStr">
        <is>
          <t>尤平</t>
        </is>
      </c>
      <c r="D20" s="2" t="inlineStr">
        <is>
          <t>2023级</t>
        </is>
      </c>
      <c r="E20" s="2" t="inlineStr">
        <is>
          <t>统计学1班</t>
        </is>
      </c>
      <c r="F20" s="2" t="inlineStr">
        <is>
          <t>应用统计学</t>
        </is>
      </c>
      <c r="G20" s="2" t="n">
        <v>3</v>
      </c>
      <c r="H20" s="2" t="n">
        <v>95</v>
      </c>
      <c r="I20" s="2" t="n">
        <v>74</v>
      </c>
      <c r="J20" s="2" t="n"/>
      <c r="K20" s="2">
        <f>ROUND(J20*0.8+H20*0.2,0)</f>
        <v/>
      </c>
      <c r="L20" s="2" t="n">
        <v>88</v>
      </c>
    </row>
    <row r="21">
      <c r="A21" s="2" t="n">
        <v>20</v>
      </c>
      <c r="B21" s="2" t="inlineStr">
        <is>
          <t>2023010020</t>
        </is>
      </c>
      <c r="C21" s="2" t="inlineStr">
        <is>
          <t>许刚</t>
        </is>
      </c>
      <c r="D21" s="2" t="inlineStr">
        <is>
          <t>2023级</t>
        </is>
      </c>
      <c r="E21" s="2" t="inlineStr">
        <is>
          <t>统计学2班</t>
        </is>
      </c>
      <c r="F21" s="2" t="inlineStr">
        <is>
          <t>应用统计学</t>
        </is>
      </c>
      <c r="G21" s="2" t="n">
        <v>3</v>
      </c>
      <c r="H21" s="2" t="n">
        <v>90</v>
      </c>
      <c r="I21" s="2" t="n">
        <v>77</v>
      </c>
      <c r="J21" s="2" t="n"/>
      <c r="K21" s="2">
        <f>ROUND(J21*0.8+H21*0.2,0)</f>
        <v/>
      </c>
      <c r="L21" s="2" t="n">
        <v>95</v>
      </c>
    </row>
    <row r="22">
      <c r="A22" s="2" t="n">
        <v>21</v>
      </c>
      <c r="B22" s="2" t="inlineStr">
        <is>
          <t>2023010021</t>
        </is>
      </c>
      <c r="C22" s="2" t="inlineStr">
        <is>
          <t>何伟</t>
        </is>
      </c>
      <c r="D22" s="2" t="inlineStr">
        <is>
          <t>2023级</t>
        </is>
      </c>
      <c r="E22" s="2" t="inlineStr">
        <is>
          <t>统计学1班</t>
        </is>
      </c>
      <c r="F22" s="2" t="inlineStr">
        <is>
          <t>应用统计学</t>
        </is>
      </c>
      <c r="G22" s="2" t="n">
        <v>3</v>
      </c>
      <c r="H22" s="2" t="n">
        <v>100</v>
      </c>
      <c r="I22" s="2" t="n">
        <v>80</v>
      </c>
      <c r="J22" s="2" t="n"/>
      <c r="K22" s="2">
        <f>ROUND(J22*0.8+H22*0.2,0)</f>
        <v/>
      </c>
      <c r="L22" s="2" t="n">
        <v>75</v>
      </c>
    </row>
    <row r="23">
      <c r="A23" s="2" t="n">
        <v>22</v>
      </c>
      <c r="B23" s="2" t="inlineStr">
        <is>
          <t>2023010022</t>
        </is>
      </c>
      <c r="C23" s="2" t="inlineStr">
        <is>
          <t>吕芳</t>
        </is>
      </c>
      <c r="D23" s="2" t="inlineStr">
        <is>
          <t>2023级</t>
        </is>
      </c>
      <c r="E23" s="2" t="inlineStr">
        <is>
          <t>统计学2班</t>
        </is>
      </c>
      <c r="F23" s="2" t="inlineStr">
        <is>
          <t>应用统计学</t>
        </is>
      </c>
      <c r="G23" s="2" t="n">
        <v>3</v>
      </c>
      <c r="H23" s="2" t="n">
        <v>85</v>
      </c>
      <c r="I23" s="2" t="n">
        <v>83</v>
      </c>
      <c r="J23" s="2" t="n"/>
      <c r="K23" s="2">
        <f>ROUND(J23*0.8+H23*0.2,0)</f>
        <v/>
      </c>
      <c r="L23" s="2" t="n">
        <v>82</v>
      </c>
    </row>
    <row r="24">
      <c r="A24" s="2" t="n">
        <v>23</v>
      </c>
      <c r="B24" s="2" t="inlineStr">
        <is>
          <t>2023010023</t>
        </is>
      </c>
      <c r="C24" s="2" t="inlineStr">
        <is>
          <t>施娜</t>
        </is>
      </c>
      <c r="D24" s="2" t="inlineStr">
        <is>
          <t>2023级</t>
        </is>
      </c>
      <c r="E24" s="2" t="inlineStr">
        <is>
          <t>统计学1班</t>
        </is>
      </c>
      <c r="F24" s="2" t="inlineStr">
        <is>
          <t>应用统计学</t>
        </is>
      </c>
      <c r="G24" s="2" t="n">
        <v>3</v>
      </c>
      <c r="H24" s="2" t="n">
        <v>95</v>
      </c>
      <c r="I24" s="2" t="n">
        <v>86</v>
      </c>
      <c r="J24" s="2" t="n"/>
      <c r="K24" s="2">
        <f>ROUND(J24*0.8+H24*0.2,0)</f>
        <v/>
      </c>
      <c r="L24" s="2" t="n">
        <v>89</v>
      </c>
    </row>
    <row r="25">
      <c r="A25" s="2" t="n">
        <v>24</v>
      </c>
      <c r="B25" s="2" t="inlineStr">
        <is>
          <t>2023010024</t>
        </is>
      </c>
      <c r="C25" s="2" t="inlineStr">
        <is>
          <t>张敏</t>
        </is>
      </c>
      <c r="D25" s="2" t="inlineStr">
        <is>
          <t>2023级</t>
        </is>
      </c>
      <c r="E25" s="2" t="inlineStr">
        <is>
          <t>统计学2班</t>
        </is>
      </c>
      <c r="F25" s="2" t="inlineStr">
        <is>
          <t>应用统计学</t>
        </is>
      </c>
      <c r="G25" s="2" t="n">
        <v>3</v>
      </c>
      <c r="H25" s="2" t="n">
        <v>100</v>
      </c>
      <c r="I25" s="2" t="n">
        <v>89</v>
      </c>
      <c r="J25" s="2" t="n"/>
      <c r="K25" s="2">
        <f>ROUND(J25*0.8+H25*0.2,0)</f>
        <v/>
      </c>
      <c r="L25" s="2" t="n">
        <v>96</v>
      </c>
    </row>
    <row r="26">
      <c r="A26" s="2" t="n">
        <v>25</v>
      </c>
      <c r="B26" s="2" t="inlineStr">
        <is>
          <t>2023010025</t>
        </is>
      </c>
      <c r="C26" s="2" t="inlineStr">
        <is>
          <t>孔静</t>
        </is>
      </c>
      <c r="D26" s="2" t="inlineStr">
        <is>
          <t>2023级</t>
        </is>
      </c>
      <c r="E26" s="2" t="inlineStr">
        <is>
          <t>统计学1班</t>
        </is>
      </c>
      <c r="F26" s="2" t="inlineStr">
        <is>
          <t>应用统计学</t>
        </is>
      </c>
      <c r="G26" s="2" t="n">
        <v>3</v>
      </c>
      <c r="H26" s="2" t="n">
        <v>100</v>
      </c>
      <c r="I26" s="2" t="n">
        <v>92</v>
      </c>
      <c r="J26" s="2" t="n"/>
      <c r="K26" s="2">
        <f>ROUND(J26*0.8+H26*0.2,0)</f>
        <v/>
      </c>
      <c r="L26" s="2" t="n">
        <v>76</v>
      </c>
    </row>
    <row r="27">
      <c r="A27" s="2" t="n">
        <v>26</v>
      </c>
      <c r="B27" s="2" t="inlineStr">
        <is>
          <t>2023010026</t>
        </is>
      </c>
      <c r="C27" s="2" t="inlineStr">
        <is>
          <t>曹强</t>
        </is>
      </c>
      <c r="D27" s="2" t="inlineStr">
        <is>
          <t>2023级</t>
        </is>
      </c>
      <c r="E27" s="2" t="inlineStr">
        <is>
          <t>统计学2班</t>
        </is>
      </c>
      <c r="F27" s="2" t="inlineStr">
        <is>
          <t>应用统计学</t>
        </is>
      </c>
      <c r="G27" s="2" t="n">
        <v>3</v>
      </c>
      <c r="H27" s="2" t="n">
        <v>100</v>
      </c>
      <c r="I27" s="2" t="n">
        <v>70</v>
      </c>
      <c r="J27" s="2" t="n"/>
      <c r="K27" s="2">
        <f>ROUND(J27*0.8+H27*0.2,0)</f>
        <v/>
      </c>
      <c r="L27" s="2" t="n">
        <v>83</v>
      </c>
    </row>
    <row r="28">
      <c r="A28" s="2" t="n">
        <v>27</v>
      </c>
      <c r="B28" s="2" t="inlineStr">
        <is>
          <t>2023010027</t>
        </is>
      </c>
      <c r="C28" s="2" t="inlineStr">
        <is>
          <t>严磊</t>
        </is>
      </c>
      <c r="D28" s="2" t="inlineStr">
        <is>
          <t>2023级</t>
        </is>
      </c>
      <c r="E28" s="2" t="inlineStr">
        <is>
          <t>统计学1班</t>
        </is>
      </c>
      <c r="F28" s="2" t="inlineStr">
        <is>
          <t>应用统计学</t>
        </is>
      </c>
      <c r="G28" s="2" t="n">
        <v>3</v>
      </c>
      <c r="H28" s="2" t="n">
        <v>95</v>
      </c>
      <c r="I28" s="2" t="n">
        <v>73</v>
      </c>
      <c r="J28" s="2" t="n"/>
      <c r="K28" s="2">
        <f>ROUND(J28*0.8+H28*0.2,0)</f>
        <v/>
      </c>
      <c r="L28" s="2" t="n">
        <v>90</v>
      </c>
    </row>
    <row r="29">
      <c r="A29" s="2" t="n">
        <v>28</v>
      </c>
      <c r="B29" s="2" t="inlineStr">
        <is>
          <t>2023010028</t>
        </is>
      </c>
      <c r="C29" s="2" t="inlineStr">
        <is>
          <t>华洋</t>
        </is>
      </c>
      <c r="D29" s="2" t="inlineStr">
        <is>
          <t>2023级</t>
        </is>
      </c>
      <c r="E29" s="2" t="inlineStr">
        <is>
          <t>统计学2班</t>
        </is>
      </c>
      <c r="F29" s="2" t="inlineStr">
        <is>
          <t>应用统计学</t>
        </is>
      </c>
      <c r="G29" s="2" t="n">
        <v>3</v>
      </c>
      <c r="H29" s="2" t="n">
        <v>90</v>
      </c>
      <c r="I29" s="2" t="n">
        <v>76</v>
      </c>
      <c r="J29" s="2" t="n"/>
      <c r="K29" s="2">
        <f>ROUND(J29*0.8+H29*0.2,0)</f>
        <v/>
      </c>
      <c r="L29" s="2" t="n">
        <v>70</v>
      </c>
    </row>
    <row r="30">
      <c r="A30" s="2" t="n">
        <v>29</v>
      </c>
      <c r="B30" s="2" t="inlineStr">
        <is>
          <t>2023010029</t>
        </is>
      </c>
      <c r="C30" s="2" t="inlineStr">
        <is>
          <t>金艳</t>
        </is>
      </c>
      <c r="D30" s="2" t="inlineStr">
        <is>
          <t>2023级</t>
        </is>
      </c>
      <c r="E30" s="2" t="inlineStr">
        <is>
          <t>统计学1班</t>
        </is>
      </c>
      <c r="F30" s="2" t="inlineStr">
        <is>
          <t>应用统计学</t>
        </is>
      </c>
      <c r="G30" s="2" t="n">
        <v>3</v>
      </c>
      <c r="H30" s="2" t="n">
        <v>100</v>
      </c>
      <c r="I30" s="2" t="n">
        <v>79</v>
      </c>
      <c r="J30" s="2" t="n"/>
      <c r="K30" s="2">
        <f>ROUND(J30*0.8+H30*0.2,0)</f>
        <v/>
      </c>
      <c r="L30" s="2" t="n">
        <v>77</v>
      </c>
    </row>
    <row r="31">
      <c r="A31" s="2" t="n">
        <v>30</v>
      </c>
      <c r="B31" s="2" t="inlineStr">
        <is>
          <t>2023010030</t>
        </is>
      </c>
      <c r="C31" s="2" t="inlineStr">
        <is>
          <t>魏勇</t>
        </is>
      </c>
      <c r="D31" s="2" t="inlineStr">
        <is>
          <t>2023级</t>
        </is>
      </c>
      <c r="E31" s="2" t="inlineStr">
        <is>
          <t>统计学2班</t>
        </is>
      </c>
      <c r="F31" s="2" t="inlineStr">
        <is>
          <t>应用统计学</t>
        </is>
      </c>
      <c r="G31" s="2" t="n">
        <v>3</v>
      </c>
      <c r="H31" s="2" t="n">
        <v>85</v>
      </c>
      <c r="I31" s="2" t="n">
        <v>82</v>
      </c>
      <c r="J31" s="2" t="n"/>
      <c r="K31" s="2">
        <f>ROUND(J31*0.8+H31*0.2,0)</f>
        <v/>
      </c>
      <c r="L31" s="2" t="n">
        <v>84</v>
      </c>
    </row>
    <row r="32">
      <c r="A32" s="2" t="n">
        <v>31</v>
      </c>
      <c r="B32" s="2" t="inlineStr">
        <is>
          <t>2023010031</t>
        </is>
      </c>
      <c r="C32" s="2" t="inlineStr">
        <is>
          <t>陶军</t>
        </is>
      </c>
      <c r="D32" s="2" t="inlineStr">
        <is>
          <t>2023级</t>
        </is>
      </c>
      <c r="E32" s="2" t="inlineStr">
        <is>
          <t>统计学1班</t>
        </is>
      </c>
      <c r="F32" s="2" t="inlineStr">
        <is>
          <t>应用统计学</t>
        </is>
      </c>
      <c r="G32" s="2" t="n">
        <v>3</v>
      </c>
      <c r="H32" s="2" t="n">
        <v>95</v>
      </c>
      <c r="I32" s="2" t="n">
        <v>85</v>
      </c>
      <c r="J32" s="2" t="n"/>
      <c r="K32" s="2">
        <f>ROUND(J32*0.8+H32*0.2,0)</f>
        <v/>
      </c>
      <c r="L32" s="2" t="n">
        <v>91</v>
      </c>
    </row>
    <row r="33">
      <c r="A33" s="2" t="n">
        <v>32</v>
      </c>
      <c r="B33" s="2" t="inlineStr">
        <is>
          <t>2023010032</t>
        </is>
      </c>
      <c r="C33" s="2" t="inlineStr">
        <is>
          <t>姜杰</t>
        </is>
      </c>
      <c r="D33" s="2" t="inlineStr">
        <is>
          <t>2023级</t>
        </is>
      </c>
      <c r="E33" s="2" t="inlineStr">
        <is>
          <t>统计学2班</t>
        </is>
      </c>
      <c r="F33" s="2" t="inlineStr">
        <is>
          <t>应用统计学</t>
        </is>
      </c>
      <c r="G33" s="2" t="n">
        <v>3</v>
      </c>
      <c r="H33" s="2" t="n">
        <v>100</v>
      </c>
      <c r="I33" s="2" t="n">
        <v>88</v>
      </c>
      <c r="J33" s="2" t="n"/>
      <c r="K33" s="2">
        <f>ROUND(J33*0.8+H33*0.2,0)</f>
        <v/>
      </c>
      <c r="L33" s="2" t="n">
        <v>71</v>
      </c>
    </row>
    <row r="34">
      <c r="A34" s="2" t="n">
        <v>33</v>
      </c>
      <c r="B34" s="2" t="inlineStr">
        <is>
          <t>2023010033</t>
        </is>
      </c>
      <c r="C34" s="2" t="inlineStr">
        <is>
          <t>赵娟</t>
        </is>
      </c>
      <c r="D34" s="2" t="inlineStr">
        <is>
          <t>2023级</t>
        </is>
      </c>
      <c r="E34" s="2" t="inlineStr">
        <is>
          <t>统计学1班</t>
        </is>
      </c>
      <c r="F34" s="2" t="inlineStr">
        <is>
          <t>应用统计学</t>
        </is>
      </c>
      <c r="G34" s="2" t="n">
        <v>3</v>
      </c>
      <c r="H34" s="2" t="n">
        <v>100</v>
      </c>
      <c r="I34" s="2" t="n">
        <v>91</v>
      </c>
      <c r="J34" s="2" t="n"/>
      <c r="K34" s="2">
        <f>ROUND(J34*0.8+H34*0.2,0)</f>
        <v/>
      </c>
      <c r="L34" s="2" t="n">
        <v>78</v>
      </c>
    </row>
    <row r="35">
      <c r="A35" s="2" t="n">
        <v>34</v>
      </c>
      <c r="B35" s="2" t="inlineStr">
        <is>
          <t>2023010034</t>
        </is>
      </c>
      <c r="C35" s="2" t="inlineStr">
        <is>
          <t>钱涛</t>
        </is>
      </c>
      <c r="D35" s="2" t="inlineStr">
        <is>
          <t>2023级</t>
        </is>
      </c>
      <c r="E35" s="2" t="inlineStr">
        <is>
          <t>统计学2班</t>
        </is>
      </c>
      <c r="F35" s="2" t="inlineStr">
        <is>
          <t>应用统计学</t>
        </is>
      </c>
      <c r="G35" s="2" t="n">
        <v>3</v>
      </c>
      <c r="H35" s="2" t="n">
        <v>100</v>
      </c>
      <c r="I35" s="2" t="n">
        <v>94</v>
      </c>
      <c r="J35" s="2" t="n"/>
      <c r="K35" s="2">
        <f>ROUND(J35*0.8+H35*0.2,0)</f>
        <v/>
      </c>
      <c r="L35" s="2" t="n">
        <v>85</v>
      </c>
    </row>
    <row r="36">
      <c r="A36" s="2" t="n">
        <v>35</v>
      </c>
      <c r="B36" s="2" t="inlineStr">
        <is>
          <t>2023010035</t>
        </is>
      </c>
      <c r="C36" s="2" t="inlineStr">
        <is>
          <t>孙明</t>
        </is>
      </c>
      <c r="D36" s="2" t="inlineStr">
        <is>
          <t>2023级</t>
        </is>
      </c>
      <c r="E36" s="2" t="inlineStr">
        <is>
          <t>统计学1班</t>
        </is>
      </c>
      <c r="F36" s="2" t="inlineStr">
        <is>
          <t>应用统计学</t>
        </is>
      </c>
      <c r="G36" s="2" t="n">
        <v>3</v>
      </c>
      <c r="H36" s="2" t="n">
        <v>95</v>
      </c>
      <c r="I36" s="2" t="n">
        <v>72</v>
      </c>
      <c r="J36" s="2" t="n"/>
      <c r="K36" s="2">
        <f>ROUND(J36*0.8+H36*0.2,0)</f>
        <v/>
      </c>
      <c r="L36" s="2" t="n">
        <v>92</v>
      </c>
    </row>
    <row r="37">
      <c r="A37" s="2" t="n">
        <v>36</v>
      </c>
      <c r="B37" s="2" t="inlineStr">
        <is>
          <t>2023010036</t>
        </is>
      </c>
      <c r="C37" s="2" t="inlineStr">
        <is>
          <t>李超</t>
        </is>
      </c>
      <c r="D37" s="2" t="inlineStr">
        <is>
          <t>2023级</t>
        </is>
      </c>
      <c r="E37" s="2" t="inlineStr">
        <is>
          <t>统计学2班</t>
        </is>
      </c>
      <c r="F37" s="2" t="inlineStr">
        <is>
          <t>应用统计学</t>
        </is>
      </c>
      <c r="G37" s="2" t="n">
        <v>3</v>
      </c>
      <c r="H37" s="2" t="n">
        <v>90</v>
      </c>
      <c r="I37" s="2" t="n">
        <v>75</v>
      </c>
      <c r="J37" s="2" t="n"/>
      <c r="K37" s="2">
        <f>ROUND(J37*0.8+H37*0.2,0)</f>
        <v/>
      </c>
      <c r="L37" s="2" t="n">
        <v>72</v>
      </c>
    </row>
    <row r="38">
      <c r="A38" s="2" t="n">
        <v>37</v>
      </c>
      <c r="B38" s="2" t="inlineStr">
        <is>
          <t>2023010037</t>
        </is>
      </c>
      <c r="C38" s="2" t="inlineStr">
        <is>
          <t>周秀英</t>
        </is>
      </c>
      <c r="D38" s="2" t="inlineStr">
        <is>
          <t>2023级</t>
        </is>
      </c>
      <c r="E38" s="2" t="inlineStr">
        <is>
          <t>统计学1班</t>
        </is>
      </c>
      <c r="F38" s="2" t="inlineStr">
        <is>
          <t>应用统计学</t>
        </is>
      </c>
      <c r="G38" s="2" t="n">
        <v>3</v>
      </c>
      <c r="H38" s="2" t="n">
        <v>100</v>
      </c>
      <c r="I38" s="2" t="n">
        <v>78</v>
      </c>
      <c r="J38" s="2" t="n"/>
      <c r="K38" s="2">
        <f>ROUND(J38*0.8+H38*0.2,0)</f>
        <v/>
      </c>
      <c r="L38" s="2" t="n">
        <v>79</v>
      </c>
    </row>
    <row r="39">
      <c r="A39" s="2" t="n">
        <v>38</v>
      </c>
      <c r="B39" s="2" t="inlineStr">
        <is>
          <t>2023010038</t>
        </is>
      </c>
      <c r="C39" s="2" t="inlineStr">
        <is>
          <t>吴霞</t>
        </is>
      </c>
      <c r="D39" s="2" t="inlineStr">
        <is>
          <t>2023级</t>
        </is>
      </c>
      <c r="E39" s="2" t="inlineStr">
        <is>
          <t>统计学2班</t>
        </is>
      </c>
      <c r="F39" s="2" t="inlineStr">
        <is>
          <t>应用统计学</t>
        </is>
      </c>
      <c r="G39" s="2" t="n">
        <v>3</v>
      </c>
      <c r="H39" s="2" t="n">
        <v>85</v>
      </c>
      <c r="I39" s="2" t="n">
        <v>81</v>
      </c>
      <c r="J39" s="2" t="n"/>
      <c r="K39" s="2">
        <f>ROUND(J39*0.8+H39*0.2,0)</f>
        <v/>
      </c>
      <c r="L39" s="2" t="n">
        <v>86</v>
      </c>
    </row>
    <row r="40">
      <c r="A40" s="2" t="n">
        <v>39</v>
      </c>
      <c r="B40" s="2" t="inlineStr">
        <is>
          <t>2023010039</t>
        </is>
      </c>
      <c r="C40" s="2" t="inlineStr">
        <is>
          <t>郑平</t>
        </is>
      </c>
      <c r="D40" s="2" t="inlineStr">
        <is>
          <t>2023级</t>
        </is>
      </c>
      <c r="E40" s="2" t="inlineStr">
        <is>
          <t>统计学1班</t>
        </is>
      </c>
      <c r="F40" s="2" t="inlineStr">
        <is>
          <t>应用统计学</t>
        </is>
      </c>
      <c r="G40" s="2" t="n">
        <v>3</v>
      </c>
      <c r="H40" s="2" t="n">
        <v>95</v>
      </c>
      <c r="I40" s="2" t="n">
        <v>84</v>
      </c>
      <c r="J40" s="2" t="n"/>
      <c r="K40" s="2">
        <f>ROUND(J40*0.8+H40*0.2,0)</f>
        <v/>
      </c>
      <c r="L40" s="2" t="n">
        <v>93</v>
      </c>
    </row>
    <row r="41">
      <c r="A41" s="2" t="n">
        <v>40</v>
      </c>
      <c r="B41" s="2" t="inlineStr">
        <is>
          <t>2023010040</t>
        </is>
      </c>
      <c r="C41" s="2" t="inlineStr">
        <is>
          <t>王刚</t>
        </is>
      </c>
      <c r="D41" s="2" t="inlineStr">
        <is>
          <t>2023级</t>
        </is>
      </c>
      <c r="E41" s="2" t="inlineStr">
        <is>
          <t>统计学2班</t>
        </is>
      </c>
      <c r="F41" s="2" t="inlineStr">
        <is>
          <t>应用统计学</t>
        </is>
      </c>
      <c r="G41" s="2" t="n">
        <v>3</v>
      </c>
      <c r="H41" s="2" t="n">
        <v>100</v>
      </c>
      <c r="I41" s="2" t="n">
        <v>87</v>
      </c>
      <c r="J41" s="2" t="n"/>
      <c r="K41" s="2">
        <f>ROUND(J41*0.8+H41*0.2,0)</f>
        <v/>
      </c>
      <c r="L41" s="2" t="n">
        <v>73</v>
      </c>
    </row>
    <row r="42">
      <c r="A42" s="2" t="n">
        <v>41</v>
      </c>
      <c r="B42" s="2" t="inlineStr">
        <is>
          <t>2023020041</t>
        </is>
      </c>
      <c r="C42" s="2" t="inlineStr">
        <is>
          <t>冯伟</t>
        </is>
      </c>
      <c r="D42" s="2" t="inlineStr">
        <is>
          <t>2023级</t>
        </is>
      </c>
      <c r="E42" s="2" t="inlineStr">
        <is>
          <t>统计学1班</t>
        </is>
      </c>
      <c r="F42" s="2" t="inlineStr">
        <is>
          <t>应用统计学</t>
        </is>
      </c>
      <c r="G42" s="2" t="n">
        <v>3</v>
      </c>
      <c r="H42" s="2" t="n">
        <v>100</v>
      </c>
      <c r="I42" s="2" t="n">
        <v>90</v>
      </c>
      <c r="J42" s="2" t="n"/>
      <c r="K42" s="2">
        <f>ROUND(J42*0.8+H42*0.2,0)</f>
        <v/>
      </c>
      <c r="L42" s="2" t="n">
        <v>80</v>
      </c>
    </row>
    <row r="43">
      <c r="A43" s="2" t="n">
        <v>42</v>
      </c>
      <c r="B43" s="2" t="inlineStr">
        <is>
          <t>2023020042</t>
        </is>
      </c>
      <c r="C43" s="2" t="inlineStr">
        <is>
          <t>陈芳</t>
        </is>
      </c>
      <c r="D43" s="2" t="inlineStr">
        <is>
          <t>2023级</t>
        </is>
      </c>
      <c r="E43" s="2" t="inlineStr">
        <is>
          <t>统计学2班</t>
        </is>
      </c>
      <c r="F43" s="2" t="inlineStr">
        <is>
          <t>应用统计学</t>
        </is>
      </c>
      <c r="G43" s="2" t="n">
        <v>3</v>
      </c>
      <c r="H43" s="2" t="n">
        <v>100</v>
      </c>
      <c r="I43" s="2" t="n">
        <v>93</v>
      </c>
      <c r="J43" s="2" t="n"/>
      <c r="K43" s="2">
        <f>ROUND(J43*0.8+H43*0.2,0)</f>
        <v/>
      </c>
      <c r="L43" s="2" t="n">
        <v>87</v>
      </c>
    </row>
    <row r="44">
      <c r="A44" s="2" t="n">
        <v>43</v>
      </c>
      <c r="B44" s="2" t="inlineStr">
        <is>
          <t>2023020043</t>
        </is>
      </c>
      <c r="C44" s="2" t="inlineStr">
        <is>
          <t>褚娜</t>
        </is>
      </c>
      <c r="D44" s="2" t="inlineStr">
        <is>
          <t>2023级</t>
        </is>
      </c>
      <c r="E44" s="2" t="inlineStr">
        <is>
          <t>统计学1班</t>
        </is>
      </c>
      <c r="F44" s="2" t="inlineStr">
        <is>
          <t>应用统计学</t>
        </is>
      </c>
      <c r="G44" s="2" t="n">
        <v>3</v>
      </c>
      <c r="H44" s="2" t="n">
        <v>95</v>
      </c>
      <c r="I44" s="2" t="n">
        <v>71</v>
      </c>
      <c r="J44" s="2" t="n"/>
      <c r="K44" s="2">
        <f>ROUND(J44*0.8+H44*0.2,0)</f>
        <v/>
      </c>
      <c r="L44" s="2" t="n">
        <v>94</v>
      </c>
    </row>
    <row r="45">
      <c r="A45" s="2" t="n">
        <v>44</v>
      </c>
      <c r="B45" s="2" t="inlineStr">
        <is>
          <t>2023020044</t>
        </is>
      </c>
      <c r="C45" s="2" t="inlineStr">
        <is>
          <t>卫敏</t>
        </is>
      </c>
      <c r="D45" s="2" t="inlineStr">
        <is>
          <t>2023级</t>
        </is>
      </c>
      <c r="E45" s="2" t="inlineStr">
        <is>
          <t>统计学2班</t>
        </is>
      </c>
      <c r="F45" s="2" t="inlineStr">
        <is>
          <t>应用统计学</t>
        </is>
      </c>
      <c r="G45" s="2" t="n">
        <v>3</v>
      </c>
      <c r="H45" s="2" t="n">
        <v>90</v>
      </c>
      <c r="I45" s="2" t="n">
        <v>74</v>
      </c>
      <c r="J45" s="2" t="n"/>
      <c r="K45" s="2">
        <f>ROUND(J45*0.8+H45*0.2,0)</f>
        <v/>
      </c>
      <c r="L45" s="2" t="n">
        <v>74</v>
      </c>
    </row>
    <row r="46">
      <c r="A46" s="2" t="n">
        <v>45</v>
      </c>
      <c r="B46" s="2" t="inlineStr">
        <is>
          <t>2023020045</t>
        </is>
      </c>
      <c r="C46" s="2" t="inlineStr">
        <is>
          <t>蒋静</t>
        </is>
      </c>
      <c r="D46" s="2" t="inlineStr">
        <is>
          <t>2023级</t>
        </is>
      </c>
      <c r="E46" s="2" t="inlineStr">
        <is>
          <t>统计学1班</t>
        </is>
      </c>
      <c r="F46" s="2" t="inlineStr">
        <is>
          <t>应用统计学</t>
        </is>
      </c>
      <c r="G46" s="2" t="n">
        <v>3</v>
      </c>
      <c r="H46" s="2" t="n">
        <v>100</v>
      </c>
      <c r="I46" s="2" t="n">
        <v>77</v>
      </c>
      <c r="J46" s="2" t="n"/>
      <c r="K46" s="2">
        <f>ROUND(J46*0.8+H46*0.2,0)</f>
        <v/>
      </c>
      <c r="L46" s="2" t="n">
        <v>81</v>
      </c>
    </row>
    <row r="47">
      <c r="A47" s="2" t="n">
        <v>46</v>
      </c>
      <c r="B47" s="2" t="inlineStr">
        <is>
          <t>2023020046</t>
        </is>
      </c>
      <c r="C47" s="2" t="inlineStr">
        <is>
          <t>沈强</t>
        </is>
      </c>
      <c r="D47" s="2" t="inlineStr">
        <is>
          <t>2023级</t>
        </is>
      </c>
      <c r="E47" s="2" t="inlineStr">
        <is>
          <t>统计学2班</t>
        </is>
      </c>
      <c r="F47" s="2" t="inlineStr">
        <is>
          <t>应用统计学</t>
        </is>
      </c>
      <c r="G47" s="2" t="n">
        <v>3</v>
      </c>
      <c r="H47" s="2" t="n">
        <v>85</v>
      </c>
      <c r="I47" s="2" t="n">
        <v>80</v>
      </c>
      <c r="J47" s="2" t="n"/>
      <c r="K47" s="2">
        <f>ROUND(J47*0.8+H47*0.2,0)</f>
        <v/>
      </c>
      <c r="L47" s="2" t="n">
        <v>88</v>
      </c>
    </row>
    <row r="48">
      <c r="A48" s="2" t="n">
        <v>47</v>
      </c>
      <c r="B48" s="2" t="inlineStr">
        <is>
          <t>2023020047</t>
        </is>
      </c>
      <c r="C48" s="2" t="inlineStr">
        <is>
          <t>韩磊</t>
        </is>
      </c>
      <c r="D48" s="2" t="inlineStr">
        <is>
          <t>2023级</t>
        </is>
      </c>
      <c r="E48" s="2" t="inlineStr">
        <is>
          <t>统计学1班</t>
        </is>
      </c>
      <c r="F48" s="2" t="inlineStr">
        <is>
          <t>应用统计学</t>
        </is>
      </c>
      <c r="G48" s="2" t="n">
        <v>3</v>
      </c>
      <c r="H48" s="2" t="n">
        <v>95</v>
      </c>
      <c r="I48" s="2" t="n">
        <v>83</v>
      </c>
      <c r="J48" s="2" t="n"/>
      <c r="K48" s="2">
        <f>ROUND(J48*0.8+H48*0.2,0)</f>
        <v/>
      </c>
      <c r="L48" s="2" t="n">
        <v>95</v>
      </c>
    </row>
    <row r="49">
      <c r="A49" s="2" t="n">
        <v>48</v>
      </c>
      <c r="B49" s="2" t="inlineStr">
        <is>
          <t>2023020048</t>
        </is>
      </c>
      <c r="C49" s="2" t="inlineStr">
        <is>
          <t>杨洋</t>
        </is>
      </c>
      <c r="D49" s="2" t="inlineStr">
        <is>
          <t>2023级</t>
        </is>
      </c>
      <c r="E49" s="2" t="inlineStr">
        <is>
          <t>统计学2班</t>
        </is>
      </c>
      <c r="F49" s="2" t="inlineStr">
        <is>
          <t>应用统计学</t>
        </is>
      </c>
      <c r="G49" s="2" t="n">
        <v>3</v>
      </c>
      <c r="H49" s="2" t="n">
        <v>100</v>
      </c>
      <c r="I49" s="2" t="n">
        <v>86</v>
      </c>
      <c r="J49" s="2" t="n"/>
      <c r="K49" s="2">
        <f>ROUND(J49*0.8+H49*0.2,0)</f>
        <v/>
      </c>
      <c r="L49" s="2" t="n">
        <v>75</v>
      </c>
    </row>
    <row r="50">
      <c r="A50" s="2" t="n">
        <v>49</v>
      </c>
      <c r="B50" s="2" t="inlineStr">
        <is>
          <t>2023020049</t>
        </is>
      </c>
      <c r="C50" s="2" t="inlineStr">
        <is>
          <t>朱艳</t>
        </is>
      </c>
      <c r="D50" s="2" t="inlineStr">
        <is>
          <t>2023级</t>
        </is>
      </c>
      <c r="E50" s="2" t="inlineStr">
        <is>
          <t>统计学1班</t>
        </is>
      </c>
      <c r="F50" s="2" t="inlineStr">
        <is>
          <t>应用统计学</t>
        </is>
      </c>
      <c r="G50" s="2" t="n">
        <v>3</v>
      </c>
      <c r="H50" s="2" t="n">
        <v>100</v>
      </c>
      <c r="I50" s="2" t="n">
        <v>89</v>
      </c>
      <c r="J50" s="2" t="n"/>
      <c r="K50" s="2">
        <f>ROUND(J50*0.8+H50*0.2,0)</f>
        <v/>
      </c>
      <c r="L50" s="2" t="n">
        <v>82</v>
      </c>
    </row>
    <row r="51">
      <c r="A51" s="2" t="n">
        <v>50</v>
      </c>
      <c r="B51" s="2" t="inlineStr">
        <is>
          <t>2023020050</t>
        </is>
      </c>
      <c r="C51" s="2" t="inlineStr">
        <is>
          <t>秦勇</t>
        </is>
      </c>
      <c r="D51" s="2" t="inlineStr">
        <is>
          <t>2023级</t>
        </is>
      </c>
      <c r="E51" s="2" t="inlineStr">
        <is>
          <t>统计学2班</t>
        </is>
      </c>
      <c r="F51" s="2" t="inlineStr">
        <is>
          <t>应用统计学</t>
        </is>
      </c>
      <c r="G51" s="2" t="n">
        <v>3</v>
      </c>
      <c r="H51" s="2" t="n">
        <v>100</v>
      </c>
      <c r="I51" s="2" t="n">
        <v>92</v>
      </c>
      <c r="J51" s="2" t="n"/>
      <c r="K51" s="2">
        <f>ROUND(J51*0.8+H51*0.2,0)</f>
        <v/>
      </c>
      <c r="L51" s="2" t="n">
        <v>89</v>
      </c>
    </row>
    <row r="52">
      <c r="A52" s="2" t="n">
        <v>51</v>
      </c>
      <c r="B52" s="2" t="inlineStr">
        <is>
          <t>2023020051</t>
        </is>
      </c>
      <c r="C52" s="2" t="inlineStr">
        <is>
          <t>尤军</t>
        </is>
      </c>
      <c r="D52" s="2" t="inlineStr">
        <is>
          <t>2023级</t>
        </is>
      </c>
      <c r="E52" s="2" t="inlineStr">
        <is>
          <t>统计学1班</t>
        </is>
      </c>
      <c r="F52" s="2" t="inlineStr">
        <is>
          <t>应用统计学</t>
        </is>
      </c>
      <c r="G52" s="2" t="n">
        <v>3</v>
      </c>
      <c r="H52" s="2" t="n">
        <v>95</v>
      </c>
      <c r="I52" s="2" t="n">
        <v>70</v>
      </c>
      <c r="J52" s="2" t="n"/>
      <c r="K52" s="2">
        <f>ROUND(J52*0.8+H52*0.2,0)</f>
        <v/>
      </c>
      <c r="L52" s="2" t="n">
        <v>96</v>
      </c>
    </row>
    <row r="53">
      <c r="A53" s="2" t="n">
        <v>52</v>
      </c>
      <c r="B53" s="2" t="inlineStr">
        <is>
          <t>2023020052</t>
        </is>
      </c>
      <c r="C53" s="2" t="inlineStr">
        <is>
          <t>许杰</t>
        </is>
      </c>
      <c r="D53" s="2" t="inlineStr">
        <is>
          <t>2023级</t>
        </is>
      </c>
      <c r="E53" s="2" t="inlineStr">
        <is>
          <t>统计学2班</t>
        </is>
      </c>
      <c r="F53" s="2" t="inlineStr">
        <is>
          <t>应用统计学</t>
        </is>
      </c>
      <c r="G53" s="2" t="n">
        <v>3</v>
      </c>
      <c r="H53" s="2" t="n">
        <v>90</v>
      </c>
      <c r="I53" s="2" t="n">
        <v>73</v>
      </c>
      <c r="J53" s="2" t="n"/>
      <c r="K53" s="2">
        <f>ROUND(J53*0.8+H53*0.2,0)</f>
        <v/>
      </c>
      <c r="L53" s="2" t="n">
        <v>76</v>
      </c>
    </row>
    <row r="54">
      <c r="A54" s="2" t="n">
        <v>53</v>
      </c>
      <c r="B54" s="2" t="inlineStr">
        <is>
          <t>2023020053</t>
        </is>
      </c>
      <c r="C54" s="2" t="inlineStr">
        <is>
          <t>何娟</t>
        </is>
      </c>
      <c r="D54" s="2" t="inlineStr">
        <is>
          <t>2023级</t>
        </is>
      </c>
      <c r="E54" s="2" t="inlineStr">
        <is>
          <t>统计学1班</t>
        </is>
      </c>
      <c r="F54" s="2" t="inlineStr">
        <is>
          <t>应用统计学</t>
        </is>
      </c>
      <c r="G54" s="2" t="n">
        <v>3</v>
      </c>
      <c r="H54" s="2" t="n">
        <v>100</v>
      </c>
      <c r="I54" s="2" t="n">
        <v>76</v>
      </c>
      <c r="J54" s="2" t="n"/>
      <c r="K54" s="2">
        <f>ROUND(J54*0.8+H54*0.2,0)</f>
        <v/>
      </c>
      <c r="L54" s="2" t="n">
        <v>83</v>
      </c>
    </row>
    <row r="55">
      <c r="A55" s="2" t="n">
        <v>54</v>
      </c>
      <c r="B55" s="2" t="inlineStr">
        <is>
          <t>2023020054</t>
        </is>
      </c>
      <c r="C55" s="2" t="inlineStr">
        <is>
          <t>吕涛</t>
        </is>
      </c>
      <c r="D55" s="2" t="inlineStr">
        <is>
          <t>2023级</t>
        </is>
      </c>
      <c r="E55" s="2" t="inlineStr">
        <is>
          <t>统计学2班</t>
        </is>
      </c>
      <c r="F55" s="2" t="inlineStr">
        <is>
          <t>应用统计学</t>
        </is>
      </c>
      <c r="G55" s="2" t="n">
        <v>3</v>
      </c>
      <c r="H55" s="2" t="n">
        <v>85</v>
      </c>
      <c r="I55" s="2" t="n">
        <v>79</v>
      </c>
      <c r="J55" s="2" t="n"/>
      <c r="K55" s="2">
        <f>ROUND(J55*0.8+H55*0.2,0)</f>
        <v/>
      </c>
      <c r="L55" s="2" t="n">
        <v>90</v>
      </c>
    </row>
    <row r="56">
      <c r="A56" s="2" t="n">
        <v>55</v>
      </c>
      <c r="B56" s="2" t="inlineStr">
        <is>
          <t>2023020055</t>
        </is>
      </c>
      <c r="C56" s="2" t="inlineStr">
        <is>
          <t>施明</t>
        </is>
      </c>
      <c r="D56" s="2" t="inlineStr">
        <is>
          <t>2023级</t>
        </is>
      </c>
      <c r="E56" s="2" t="inlineStr">
        <is>
          <t>统计学1班</t>
        </is>
      </c>
      <c r="F56" s="2" t="inlineStr">
        <is>
          <t>应用统计学</t>
        </is>
      </c>
      <c r="G56" s="2" t="n">
        <v>3</v>
      </c>
      <c r="H56" s="2" t="n">
        <v>95</v>
      </c>
      <c r="I56" s="2" t="n">
        <v>82</v>
      </c>
      <c r="J56" s="2" t="n"/>
      <c r="K56" s="2">
        <f>ROUND(J56*0.8+H56*0.2,0)</f>
        <v/>
      </c>
      <c r="L56" s="2" t="n">
        <v>70</v>
      </c>
    </row>
    <row r="57">
      <c r="A57" s="2" t="n">
        <v>56</v>
      </c>
      <c r="B57" s="2" t="inlineStr">
        <is>
          <t>2023020056</t>
        </is>
      </c>
      <c r="C57" s="2" t="inlineStr">
        <is>
          <t>张超</t>
        </is>
      </c>
      <c r="D57" s="2" t="inlineStr">
        <is>
          <t>2023级</t>
        </is>
      </c>
      <c r="E57" s="2" t="inlineStr">
        <is>
          <t>统计学2班</t>
        </is>
      </c>
      <c r="F57" s="2" t="inlineStr">
        <is>
          <t>应用统计学</t>
        </is>
      </c>
      <c r="G57" s="2" t="n">
        <v>3</v>
      </c>
      <c r="H57" s="2" t="n">
        <v>100</v>
      </c>
      <c r="I57" s="2" t="n">
        <v>85</v>
      </c>
      <c r="J57" s="2" t="n"/>
      <c r="K57" s="2">
        <f>ROUND(J57*0.8+H57*0.2,0)</f>
        <v/>
      </c>
      <c r="L57" s="2" t="n">
        <v>77</v>
      </c>
    </row>
    <row r="58">
      <c r="A58" s="2" t="n">
        <v>57</v>
      </c>
      <c r="B58" s="2" t="inlineStr">
        <is>
          <t>2023020057</t>
        </is>
      </c>
      <c r="C58" s="2" t="inlineStr">
        <is>
          <t>孔秀英</t>
        </is>
      </c>
      <c r="D58" s="2" t="inlineStr">
        <is>
          <t>2023级</t>
        </is>
      </c>
      <c r="E58" s="2" t="inlineStr">
        <is>
          <t>统计学1班</t>
        </is>
      </c>
      <c r="F58" s="2" t="inlineStr">
        <is>
          <t>应用统计学</t>
        </is>
      </c>
      <c r="G58" s="2" t="n">
        <v>3</v>
      </c>
      <c r="H58" s="2" t="n">
        <v>100</v>
      </c>
      <c r="I58" s="2" t="n">
        <v>88</v>
      </c>
      <c r="J58" s="2" t="n"/>
      <c r="K58" s="2">
        <f>ROUND(J58*0.8+H58*0.2,0)</f>
        <v/>
      </c>
      <c r="L58" s="2" t="n">
        <v>84</v>
      </c>
    </row>
    <row r="59">
      <c r="A59" s="2" t="n">
        <v>58</v>
      </c>
      <c r="B59" s="2" t="inlineStr">
        <is>
          <t>2023020058</t>
        </is>
      </c>
      <c r="C59" s="2" t="inlineStr">
        <is>
          <t>曹霞</t>
        </is>
      </c>
      <c r="D59" s="2" t="inlineStr">
        <is>
          <t>2023级</t>
        </is>
      </c>
      <c r="E59" s="2" t="inlineStr">
        <is>
          <t>统计学2班</t>
        </is>
      </c>
      <c r="F59" s="2" t="inlineStr">
        <is>
          <t>应用统计学</t>
        </is>
      </c>
      <c r="G59" s="2" t="n">
        <v>3</v>
      </c>
      <c r="H59" s="2" t="n">
        <v>100</v>
      </c>
      <c r="I59" s="2" t="n">
        <v>91</v>
      </c>
      <c r="J59" s="2" t="n"/>
      <c r="K59" s="2">
        <f>ROUND(J59*0.8+H59*0.2,0)</f>
        <v/>
      </c>
      <c r="L59" s="2" t="n">
        <v>91</v>
      </c>
    </row>
    <row r="60">
      <c r="A60" s="2" t="n">
        <v>59</v>
      </c>
      <c r="B60" s="2" t="inlineStr">
        <is>
          <t>2023020059</t>
        </is>
      </c>
      <c r="C60" s="2" t="inlineStr">
        <is>
          <t>严平</t>
        </is>
      </c>
      <c r="D60" s="2" t="inlineStr">
        <is>
          <t>2023级</t>
        </is>
      </c>
      <c r="E60" s="2" t="inlineStr">
        <is>
          <t>统计学1班</t>
        </is>
      </c>
      <c r="F60" s="2" t="inlineStr">
        <is>
          <t>应用统计学</t>
        </is>
      </c>
      <c r="G60" s="2" t="n">
        <v>3</v>
      </c>
      <c r="H60" s="2" t="n">
        <v>95</v>
      </c>
      <c r="I60" s="2" t="n">
        <v>94</v>
      </c>
      <c r="J60" s="2" t="n"/>
      <c r="K60" s="2">
        <f>ROUND(J60*0.8+H60*0.2,0)</f>
        <v/>
      </c>
      <c r="L60" s="2" t="n">
        <v>71</v>
      </c>
    </row>
    <row r="61">
      <c r="A61" s="2" t="n">
        <v>60</v>
      </c>
      <c r="B61" s="2" t="inlineStr">
        <is>
          <t>2023020060</t>
        </is>
      </c>
      <c r="C61" s="2" t="inlineStr">
        <is>
          <t>华刚</t>
        </is>
      </c>
      <c r="D61" s="2" t="inlineStr">
        <is>
          <t>2023级</t>
        </is>
      </c>
      <c r="E61" s="2" t="inlineStr">
        <is>
          <t>统计学2班</t>
        </is>
      </c>
      <c r="F61" s="2" t="inlineStr">
        <is>
          <t>应用统计学</t>
        </is>
      </c>
      <c r="G61" s="2" t="n">
        <v>3</v>
      </c>
      <c r="H61" s="2" t="n">
        <v>90</v>
      </c>
      <c r="I61" s="2" t="n">
        <v>72</v>
      </c>
      <c r="J61" s="2" t="n"/>
      <c r="K61" s="2">
        <f>ROUND(J61*0.8+H61*0.2,0)</f>
        <v/>
      </c>
      <c r="L61" s="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2026-10-18T04:59:49Z</dcterms:created>
  <dcterms:modified xmlns:dcterms="http://purl.org/dc/terms/" xmlns:xsi="http://www.w3.org/2001/XMLSchema-instance" xsi:type="dcterms:W3CDTF">2026-10-18T04:59:49Z</dcterms:modified>
</cp:coreProperties>
</file>